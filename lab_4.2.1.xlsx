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Комов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<sst xmlns="http://schemas.openxmlformats.org/spreadsheetml/2006/main" count="113" uniqueCount="74">
  <si>
    <t xml:space="preserve">Темные кольца</t>
  </si>
  <si>
    <t xml:space="preserve">Светлые кольца</t>
  </si>
  <si>
    <t xml:space="preserve">m</t>
  </si>
  <si>
    <t xml:space="preserve">k1, um</t>
  </si>
  <si>
    <t xml:space="preserve">k2, um</t>
  </si>
  <si>
    <t xml:space="preserve">d, um</t>
  </si>
  <si>
    <t xml:space="preserve">r, um</t>
  </si>
  <si>
    <t xml:space="preserve">r^2, um^2</t>
  </si>
  <si>
    <t xml:space="preserve">Зеленый</t>
  </si>
  <si>
    <t xml:space="preserve">1мм</t>
  </si>
  <si>
    <t xml:space="preserve">100делений</t>
  </si>
  <si>
    <t xml:space="preserve">наша шкала</t>
  </si>
  <si>
    <t xml:space="preserve">Диаметр сопрокосновения, mm</t>
  </si>
  <si>
    <t xml:space="preserve">в мм</t>
  </si>
  <si>
    <t xml:space="preserve">Биения</t>
  </si>
  <si>
    <t xml:space="preserve">2 ясности</t>
  </si>
  <si>
    <t xml:space="preserve">до центра</t>
  </si>
  <si>
    <t xml:space="preserve">центральное пятно соприкосновения</t>
  </si>
  <si>
    <t xml:space="preserve">s_k</t>
  </si>
  <si>
    <t xml:space="preserve">k1, дел</t>
  </si>
  <si>
    <t xml:space="preserve">k2, дел</t>
  </si>
  <si>
    <t xml:space="preserve">d, дел</t>
  </si>
  <si>
    <t xml:space="preserve">r, дел</t>
  </si>
  <si>
    <t xml:space="preserve">r^2, um</t>
  </si>
  <si>
    <t xml:space="preserve">s_r^2, um</t>
  </si>
  <si>
    <t xml:space="preserve">-</t>
  </si>
  <si>
    <t xml:space="preserve">r^2. um</t>
  </si>
  <si>
    <t xml:space="preserve">7105.673019</t>
  </si>
  <si>
    <t xml:space="preserve">13950.26347</t>
  </si>
  <si>
    <t xml:space="preserve">21329.50875</t>
  </si>
  <si>
    <t xml:space="preserve">28093.1564</t>
  </si>
  <si>
    <t xml:space="preserve">35601.62193</t>
  </si>
  <si>
    <t xml:space="preserve">42773.3462</t>
  </si>
  <si>
    <t xml:space="preserve">49506.25</t>
  </si>
  <si>
    <t xml:space="preserve">57433.60053</t>
  </si>
  <si>
    <t xml:space="preserve">63951.05717</t>
  </si>
  <si>
    <t xml:space="preserve">71865.91801</t>
  </si>
  <si>
    <t xml:space="preserve">78036.54556</t>
  </si>
  <si>
    <t xml:space="preserve">85318.03499</t>
  </si>
  <si>
    <t xml:space="preserve">s_r^2. um</t>
  </si>
  <si>
    <t xml:space="preserve">165.2482097</t>
  </si>
  <si>
    <t xml:space="preserve">231.5396427</t>
  </si>
  <si>
    <t xml:space="preserve">286.3021308</t>
  </si>
  <si>
    <t xml:space="preserve">328.5749287</t>
  </si>
  <si>
    <t xml:space="preserve">369.8869811</t>
  </si>
  <si>
    <t xml:space="preserve">405.4345611</t>
  </si>
  <si>
    <t xml:space="preserve">436.1784141</t>
  </si>
  <si>
    <t xml:space="preserve">469.8045033</t>
  </si>
  <si>
    <t xml:space="preserve">495.7446292</t>
  </si>
  <si>
    <t xml:space="preserve">525.5277368</t>
  </si>
  <si>
    <t xml:space="preserve">547.6248811</t>
  </si>
  <si>
    <t xml:space="preserve">572.6042617</t>
  </si>
  <si>
    <t xml:space="preserve">10592.2181</t>
  </si>
  <si>
    <t xml:space="preserve">17509.58502</t>
  </si>
  <si>
    <t xml:space="preserve">24903.48166</t>
  </si>
  <si>
    <t xml:space="preserve">32174.40288</t>
  </si>
  <si>
    <t xml:space="preserve">38622.20549</t>
  </si>
  <si>
    <t xml:space="preserve">46078.31039</t>
  </si>
  <si>
    <t xml:space="preserve">53057.16502</t>
  </si>
  <si>
    <t xml:space="preserve">60287.01438</t>
  </si>
  <si>
    <t xml:space="preserve">66201.3631</t>
  </si>
  <si>
    <t xml:space="preserve">74517.57533</t>
  </si>
  <si>
    <t xml:space="preserve">81356.88168</t>
  </si>
  <si>
    <t xml:space="preserve">201.7565352</t>
  </si>
  <si>
    <t xml:space="preserve">259.4012595</t>
  </si>
  <si>
    <t xml:space="preserve">309.3600206</t>
  </si>
  <si>
    <t xml:space="preserve">351.6328184</t>
  </si>
  <si>
    <t xml:space="preserve">385.2589076</t>
  </si>
  <si>
    <t xml:space="preserve">420.8064876</t>
  </si>
  <si>
    <t xml:space="preserve">451.5503406</t>
  </si>
  <si>
    <t xml:space="preserve">481.3334482</t>
  </si>
  <si>
    <t xml:space="preserve">504.3913379</t>
  </si>
  <si>
    <t xml:space="preserve">535.1351909</t>
  </si>
  <si>
    <t xml:space="preserve">559.153826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</si>
</sst>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8"/>
      <color rgb="FF757575"/>
      <name val="Arial"/>
      <family val="2"/>
    </font>
    <font>
      <sz val="10"/>
      <color rgb="FF000000"/>
      <name val="Arial"/>
      <family val="2"/>
    </font>
    <font>
      <sz val="10"/>
      <color rgb="FF1A1A1A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57575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EA4335"/>
      <rgbColor rgb="FF666699"/>
      <rgbColor rgb="FF8B8B8B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m и r^2, um^2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Лист1!$G$2:$G$3</c:f>
              <c:strCache>
                <c:ptCount val="1"/>
                <c:pt idx="0">
                  <c:v>r^2, um^2</c:v>
                </c:pt>
              </c:strCache>
            </c:strRef>
          </c:tx>
          <c:spPr>
            <a:solidFill>
              <a:srgbClr val="4285f4"/>
            </a:solidFill>
            <a:ln w="1908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Лист1!$B$4:$B$15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Лист1!$G$4:$G$15</c:f>
              <c:numCache>
                <c:formatCode>General</c:formatCode>
                <c:ptCount val="12"/>
                <c:pt idx="0">
                  <c:v>7396</c:v>
                </c:pt>
                <c:pt idx="1">
                  <c:v>14520.25</c:v>
                </c:pt>
                <c:pt idx="2">
                  <c:v>22201</c:v>
                </c:pt>
                <c:pt idx="3">
                  <c:v>29241</c:v>
                </c:pt>
                <c:pt idx="4">
                  <c:v>37056.25</c:v>
                </c:pt>
                <c:pt idx="5">
                  <c:v>44521</c:v>
                </c:pt>
                <c:pt idx="6">
                  <c:v>51529</c:v>
                </c:pt>
                <c:pt idx="7">
                  <c:v>59780.25</c:v>
                </c:pt>
                <c:pt idx="8">
                  <c:v>66564</c:v>
                </c:pt>
                <c:pt idx="9">
                  <c:v>74802.25</c:v>
                </c:pt>
                <c:pt idx="10">
                  <c:v>81225</c:v>
                </c:pt>
                <c:pt idx="11">
                  <c:v>88804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Лист1!$N$3:$N$4</c:f>
              <c:strCache>
                <c:ptCount val="1"/>
                <c:pt idx="0">
                  <c:v>r^2, um^2 0</c:v>
                </c:pt>
              </c:strCache>
            </c:strRef>
          </c:tx>
          <c:spPr>
            <a:solidFill>
              <a:srgbClr val="ea4335"/>
            </a:solidFill>
            <a:ln w="19080">
              <a:solidFill>
                <a:srgbClr val="ea43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Лист1!$B$4:$B$15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Лист1!$N$5:$N$15</c:f>
              <c:numCache>
                <c:formatCode>General</c:formatCode>
                <c:ptCount val="11"/>
                <c:pt idx="0">
                  <c:v>11025</c:v>
                </c:pt>
                <c:pt idx="1">
                  <c:v>18225</c:v>
                </c:pt>
                <c:pt idx="2">
                  <c:v>25921</c:v>
                </c:pt>
                <c:pt idx="3">
                  <c:v>33489</c:v>
                </c:pt>
                <c:pt idx="4">
                  <c:v>40200.25</c:v>
                </c:pt>
                <c:pt idx="5">
                  <c:v>47961</c:v>
                </c:pt>
                <c:pt idx="6">
                  <c:v>55225</c:v>
                </c:pt>
                <c:pt idx="7">
                  <c:v>62750.25</c:v>
                </c:pt>
                <c:pt idx="8">
                  <c:v>68906.25</c:v>
                </c:pt>
                <c:pt idx="9">
                  <c:v>77562.25</c:v>
                </c:pt>
                <c:pt idx="10">
                  <c:v>84681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7890036"/>
        <c:axId val="24544688"/>
      </c:lineChart>
      <c:catAx>
        <c:axId val="378900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24544688"/>
        <c:crosses val="autoZero"/>
        <c:auto val="1"/>
        <c:lblAlgn val="ctr"/>
        <c:lblOffset val="100"/>
        <c:noMultiLvlLbl val="0"/>
      </c:catAx>
      <c:valAx>
        <c:axId val="24544688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3789003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Arial"/>
                <a:ea typeface="Arial"/>
              </a:defRPr>
            </a:pPr>
            <a:r>
              <a:rPr b="0" sz="1800" spc="-1" strike="noStrike">
                <a:solidFill>
                  <a:srgbClr val="757575"/>
                </a:solidFill>
                <a:latin typeface="Arial"/>
                <a:ea typeface="Arial"/>
              </a:rPr>
              <a:t>m и r^2, um^2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Комов!$H$3:$H$4</c:f>
              <c:strCache>
                <c:ptCount val="1"/>
                <c:pt idx="0">
                  <c:v>r^2, um 1860,00310522319</c:v>
                </c:pt>
              </c:strCache>
            </c:strRef>
          </c:tx>
          <c:spPr>
            <a:solidFill>
              <a:srgbClr val="4285f4"/>
            </a:solidFill>
            <a:ln w="19080">
              <a:solidFill>
                <a:srgbClr val="4285f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Комов!$B$4:$B$16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Комов!$H$5:$H$16</c:f>
              <c:numCache>
                <c:formatCode>General</c:formatCode>
                <c:ptCount val="12"/>
                <c:pt idx="0">
                  <c:v>7105.67301974728</c:v>
                </c:pt>
                <c:pt idx="1">
                  <c:v>13950.2634755254</c:v>
                </c:pt>
                <c:pt idx="2">
                  <c:v>21329.5087495145</c:v>
                </c:pt>
                <c:pt idx="3">
                  <c:v>28093.1564048716</c:v>
                </c:pt>
                <c:pt idx="4">
                  <c:v>35601.6219359127</c:v>
                </c:pt>
                <c:pt idx="5">
                  <c:v>42773.3462022943</c:v>
                </c:pt>
                <c:pt idx="6">
                  <c:v>49506.2500046725</c:v>
                </c:pt>
                <c:pt idx="7">
                  <c:v>57433.6005325511</c:v>
                </c:pt>
                <c:pt idx="8">
                  <c:v>63951.0571777256</c:v>
                </c:pt>
                <c:pt idx="9">
                  <c:v>71865.9180153314</c:v>
                </c:pt>
                <c:pt idx="10">
                  <c:v>78036.5455690878</c:v>
                </c:pt>
                <c:pt idx="11">
                  <c:v>85318.0349980581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Комов!$Q$3:$Q$4</c:f>
              <c:strCache>
                <c:ptCount val="1"/>
                <c:pt idx="0">
                  <c:v>r^2, um -</c:v>
                </c:pt>
              </c:strCache>
            </c:strRef>
          </c:tx>
          <c:spPr>
            <a:solidFill>
              <a:srgbClr val="ea4335"/>
            </a:solidFill>
            <a:ln w="19080">
              <a:solidFill>
                <a:srgbClr val="ea433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Комов!$B$4:$B$16</c:f>
              <c:strCach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</c:strCache>
            </c:strRef>
          </c:cat>
          <c:val>
            <c:numRef>
              <c:f>Комов!$Q$5:$Q$15</c:f>
              <c:numCache>
                <c:formatCode>General</c:formatCode>
                <c:ptCount val="11"/>
                <c:pt idx="0">
                  <c:v>10592.2180966352</c:v>
                </c:pt>
                <c:pt idx="1">
                  <c:v>17509.5850168867</c:v>
                </c:pt>
                <c:pt idx="2">
                  <c:v>24903.4816583112</c:v>
                </c:pt>
                <c:pt idx="3">
                  <c:v>32174.40288782</c:v>
                </c:pt>
                <c:pt idx="4">
                  <c:v>38622.2054910892</c:v>
                </c:pt>
                <c:pt idx="5">
                  <c:v>46078.3103975256</c:v>
                </c:pt>
                <c:pt idx="6">
                  <c:v>53057.165023735</c:v>
                </c:pt>
                <c:pt idx="7">
                  <c:v>60287.0143871548</c:v>
                </c:pt>
                <c:pt idx="8">
                  <c:v>66201.3631039699</c:v>
                </c:pt>
                <c:pt idx="9">
                  <c:v>74517.5753347612</c:v>
                </c:pt>
                <c:pt idx="10">
                  <c:v>81356.8816908085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6382621"/>
        <c:axId val="88265843"/>
      </c:lineChart>
      <c:catAx>
        <c:axId val="7638262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88265843"/>
        <c:crosses val="autoZero"/>
        <c:auto val="1"/>
        <c:lblAlgn val="ctr"/>
        <c:lblOffset val="100"/>
        <c:noMultiLvlLbl val="0"/>
      </c:catAx>
      <c:valAx>
        <c:axId val="8826584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Arial"/>
                <a:ea typeface="Arial"/>
              </a:defRPr>
            </a:pPr>
          </a:p>
        </c:txPr>
        <c:crossAx val="763826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57240</xdr:colOff>
      <xdr:row>16</xdr:row>
      <xdr:rowOff>85680</xdr:rowOff>
    </xdr:from>
    <xdr:to>
      <xdr:col>14</xdr:col>
      <xdr:colOff>430200</xdr:colOff>
      <xdr:row>34</xdr:row>
      <xdr:rowOff>18720</xdr:rowOff>
    </xdr:to>
    <xdr:graphicFrame>
      <xdr:nvGraphicFramePr>
        <xdr:cNvPr id="0" name="Chart 1"/>
        <xdr:cNvGraphicFramePr/>
      </xdr:nvGraphicFramePr>
      <xdr:xfrm>
        <a:off x="9703440" y="328608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11</xdr:col>
      <xdr:colOff>152280</xdr:colOff>
      <xdr:row>18</xdr:row>
      <xdr:rowOff>104760</xdr:rowOff>
    </xdr:from>
    <xdr:to>
      <xdr:col>17</xdr:col>
      <xdr:colOff>525240</xdr:colOff>
      <xdr:row>36</xdr:row>
      <xdr:rowOff>37440</xdr:rowOff>
    </xdr:to>
    <xdr:graphicFrame>
      <xdr:nvGraphicFramePr>
        <xdr:cNvPr id="1" name="Chart 2"/>
        <xdr:cNvGraphicFramePr/>
      </xdr:nvGraphicFramePr>
      <xdr:xfrm>
        <a:off x="9945360" y="3705120"/>
        <a:ext cx="5714640" cy="3533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N27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100" workbookViewId="0">
      <selection pane="topLeft" activeCell="B4" activeCellId="0" sqref="B4:B15 F4:F15 M4:M15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36.06"/>
    <col collapsed="false" customWidth="true" hidden="false" outlineLevel="0" max="2" min="2" style="0" width="15.99"/>
    <col collapsed="false" customWidth="true" hidden="false" outlineLevel="0" max="4" min="4" style="0" width="18.29"/>
    <col collapsed="false" customWidth="true" hidden="false" outlineLevel="0" max="5" min="5" style="0" width="15.99"/>
  </cols>
  <sheetData>
    <row r="2" customFormat="false" ht="15.75" hidden="false" customHeight="false" outlineLevel="0" collapsed="false">
      <c r="B2" s="1" t="s">
        <v>0</v>
      </c>
      <c r="I2" s="1" t="s">
        <v>1</v>
      </c>
    </row>
    <row r="3" customFormat="false" ht="15.75" hidden="false" customHeight="false" outlineLevel="0" collapsed="false"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I3" s="1" t="s">
        <v>2</v>
      </c>
      <c r="J3" s="1" t="s">
        <v>3</v>
      </c>
      <c r="K3" s="1" t="s">
        <v>4</v>
      </c>
      <c r="L3" s="1" t="s">
        <v>5</v>
      </c>
      <c r="M3" s="1" t="s">
        <v>6</v>
      </c>
      <c r="N3" s="1" t="s">
        <v>7</v>
      </c>
    </row>
    <row r="4" customFormat="false" ht="15.75" hidden="false" customHeight="false" outlineLevel="0" collapsed="false">
      <c r="A4" s="1" t="s">
        <v>8</v>
      </c>
      <c r="B4" s="1" t="n">
        <v>1</v>
      </c>
      <c r="C4" s="1" t="n">
        <v>83</v>
      </c>
      <c r="D4" s="1" t="n">
        <v>89</v>
      </c>
      <c r="E4" s="2" t="n">
        <f aca="false">D4+C4</f>
        <v>172</v>
      </c>
      <c r="F4" s="2" t="n">
        <f aca="false">E4/2</f>
        <v>86</v>
      </c>
      <c r="G4" s="1" t="n">
        <f aca="false">F4^2</f>
        <v>7396</v>
      </c>
      <c r="I4" s="1" t="n">
        <v>1</v>
      </c>
      <c r="J4" s="1" t="n">
        <v>0</v>
      </c>
      <c r="K4" s="1" t="n">
        <v>0</v>
      </c>
      <c r="L4" s="2" t="n">
        <f aca="false">K4+J4</f>
        <v>0</v>
      </c>
      <c r="M4" s="2" t="n">
        <f aca="false">L4/2</f>
        <v>0</v>
      </c>
      <c r="N4" s="1" t="n">
        <f aca="false">M4^2</f>
        <v>0</v>
      </c>
    </row>
    <row r="5" customFormat="false" ht="15.75" hidden="false" customHeight="false" outlineLevel="0" collapsed="false">
      <c r="B5" s="1" t="n">
        <v>2</v>
      </c>
      <c r="C5" s="1" t="n">
        <v>120</v>
      </c>
      <c r="D5" s="1" t="n">
        <v>121</v>
      </c>
      <c r="E5" s="2" t="n">
        <f aca="false">D5+C5</f>
        <v>241</v>
      </c>
      <c r="F5" s="2" t="n">
        <f aca="false">E5/2</f>
        <v>120.5</v>
      </c>
      <c r="G5" s="1" t="n">
        <f aca="false">F5^2</f>
        <v>14520.25</v>
      </c>
      <c r="I5" s="1" t="n">
        <v>2</v>
      </c>
      <c r="J5" s="1" t="n">
        <v>106</v>
      </c>
      <c r="K5" s="1" t="n">
        <v>104</v>
      </c>
      <c r="L5" s="2" t="n">
        <f aca="false">K5+J5</f>
        <v>210</v>
      </c>
      <c r="M5" s="2" t="n">
        <f aca="false">L5/2</f>
        <v>105</v>
      </c>
      <c r="N5" s="1" t="n">
        <f aca="false">M5^2</f>
        <v>11025</v>
      </c>
    </row>
    <row r="6" customFormat="false" ht="15.75" hidden="false" customHeight="false" outlineLevel="0" collapsed="false">
      <c r="B6" s="1" t="n">
        <v>3</v>
      </c>
      <c r="C6" s="1" t="n">
        <v>148</v>
      </c>
      <c r="D6" s="1" t="n">
        <v>150</v>
      </c>
      <c r="E6" s="2" t="n">
        <f aca="false">D6+C6</f>
        <v>298</v>
      </c>
      <c r="F6" s="2" t="n">
        <f aca="false">E6/2</f>
        <v>149</v>
      </c>
      <c r="G6" s="1" t="n">
        <f aca="false">F6^2</f>
        <v>22201</v>
      </c>
      <c r="I6" s="1" t="n">
        <v>3</v>
      </c>
      <c r="J6" s="1" t="n">
        <v>136</v>
      </c>
      <c r="K6" s="1" t="n">
        <v>134</v>
      </c>
      <c r="L6" s="2" t="n">
        <f aca="false">K6+J6</f>
        <v>270</v>
      </c>
      <c r="M6" s="2" t="n">
        <f aca="false">L6/2</f>
        <v>135</v>
      </c>
      <c r="N6" s="1" t="n">
        <f aca="false">M6^2</f>
        <v>18225</v>
      </c>
    </row>
    <row r="7" customFormat="false" ht="15.75" hidden="false" customHeight="false" outlineLevel="0" collapsed="false">
      <c r="B7" s="1" t="n">
        <v>4</v>
      </c>
      <c r="C7" s="1" t="n">
        <v>170</v>
      </c>
      <c r="D7" s="1" t="n">
        <v>172</v>
      </c>
      <c r="E7" s="2" t="n">
        <f aca="false">D7+C7</f>
        <v>342</v>
      </c>
      <c r="F7" s="2" t="n">
        <f aca="false">E7/2</f>
        <v>171</v>
      </c>
      <c r="G7" s="1" t="n">
        <f aca="false">F7^2</f>
        <v>29241</v>
      </c>
      <c r="I7" s="1" t="n">
        <v>4</v>
      </c>
      <c r="J7" s="1" t="n">
        <v>160</v>
      </c>
      <c r="K7" s="1" t="n">
        <v>162</v>
      </c>
      <c r="L7" s="2" t="n">
        <f aca="false">K7+J7</f>
        <v>322</v>
      </c>
      <c r="M7" s="2" t="n">
        <f aca="false">L7/2</f>
        <v>161</v>
      </c>
      <c r="N7" s="1" t="n">
        <f aca="false">M7^2</f>
        <v>25921</v>
      </c>
    </row>
    <row r="8" customFormat="false" ht="15.75" hidden="false" customHeight="false" outlineLevel="0" collapsed="false">
      <c r="B8" s="1" t="n">
        <v>5</v>
      </c>
      <c r="C8" s="1" t="n">
        <v>191</v>
      </c>
      <c r="D8" s="1" t="n">
        <v>194</v>
      </c>
      <c r="E8" s="2" t="n">
        <f aca="false">D8+C8</f>
        <v>385</v>
      </c>
      <c r="F8" s="2" t="n">
        <f aca="false">E8/2</f>
        <v>192.5</v>
      </c>
      <c r="G8" s="1" t="n">
        <f aca="false">F8^2</f>
        <v>37056.25</v>
      </c>
      <c r="I8" s="1" t="n">
        <v>5</v>
      </c>
      <c r="J8" s="1" t="n">
        <v>182</v>
      </c>
      <c r="K8" s="1" t="n">
        <v>184</v>
      </c>
      <c r="L8" s="2" t="n">
        <f aca="false">K8+J8</f>
        <v>366</v>
      </c>
      <c r="M8" s="2" t="n">
        <f aca="false">L8/2</f>
        <v>183</v>
      </c>
      <c r="N8" s="1" t="n">
        <f aca="false">M8^2</f>
        <v>33489</v>
      </c>
    </row>
    <row r="9" customFormat="false" ht="15.75" hidden="false" customHeight="false" outlineLevel="0" collapsed="false">
      <c r="B9" s="1" t="n">
        <v>6</v>
      </c>
      <c r="C9" s="1" t="n">
        <v>209</v>
      </c>
      <c r="D9" s="1" t="n">
        <v>213</v>
      </c>
      <c r="E9" s="2" t="n">
        <f aca="false">D9+C9</f>
        <v>422</v>
      </c>
      <c r="F9" s="2" t="n">
        <f aca="false">E9/2</f>
        <v>211</v>
      </c>
      <c r="G9" s="1" t="n">
        <f aca="false">F9^2</f>
        <v>44521</v>
      </c>
      <c r="I9" s="1" t="n">
        <v>6</v>
      </c>
      <c r="J9" s="1" t="n">
        <v>199</v>
      </c>
      <c r="K9" s="1" t="n">
        <v>202</v>
      </c>
      <c r="L9" s="2" t="n">
        <f aca="false">K9+J9</f>
        <v>401</v>
      </c>
      <c r="M9" s="2" t="n">
        <f aca="false">L9/2</f>
        <v>200.5</v>
      </c>
      <c r="N9" s="1" t="n">
        <f aca="false">M9^2</f>
        <v>40200.25</v>
      </c>
    </row>
    <row r="10" customFormat="false" ht="15.75" hidden="false" customHeight="false" outlineLevel="0" collapsed="false">
      <c r="B10" s="1" t="n">
        <v>7</v>
      </c>
      <c r="C10" s="1" t="n">
        <v>225</v>
      </c>
      <c r="D10" s="1" t="n">
        <v>229</v>
      </c>
      <c r="E10" s="2" t="n">
        <f aca="false">D10+C10</f>
        <v>454</v>
      </c>
      <c r="F10" s="2" t="n">
        <f aca="false">E10/2</f>
        <v>227</v>
      </c>
      <c r="G10" s="1" t="n">
        <f aca="false">F10^2</f>
        <v>51529</v>
      </c>
      <c r="I10" s="1" t="n">
        <v>7</v>
      </c>
      <c r="J10" s="1" t="n">
        <v>218</v>
      </c>
      <c r="K10" s="1" t="n">
        <v>220</v>
      </c>
      <c r="L10" s="2" t="n">
        <f aca="false">K10+J10</f>
        <v>438</v>
      </c>
      <c r="M10" s="2" t="n">
        <f aca="false">L10/2</f>
        <v>219</v>
      </c>
      <c r="N10" s="1" t="n">
        <f aca="false">M10^2</f>
        <v>47961</v>
      </c>
    </row>
    <row r="11" customFormat="false" ht="15.75" hidden="false" customHeight="false" outlineLevel="0" collapsed="false">
      <c r="B11" s="1" t="n">
        <v>8</v>
      </c>
      <c r="C11" s="1" t="n">
        <v>243</v>
      </c>
      <c r="D11" s="1" t="n">
        <v>246</v>
      </c>
      <c r="E11" s="2" t="n">
        <f aca="false">D11+C11</f>
        <v>489</v>
      </c>
      <c r="F11" s="2" t="n">
        <f aca="false">E11/2</f>
        <v>244.5</v>
      </c>
      <c r="G11" s="1" t="n">
        <f aca="false">F11^2</f>
        <v>59780.25</v>
      </c>
      <c r="I11" s="1" t="n">
        <v>8</v>
      </c>
      <c r="J11" s="1" t="n">
        <v>233</v>
      </c>
      <c r="K11" s="1" t="n">
        <v>237</v>
      </c>
      <c r="L11" s="2" t="n">
        <f aca="false">K11+J11</f>
        <v>470</v>
      </c>
      <c r="M11" s="2" t="n">
        <f aca="false">L11/2</f>
        <v>235</v>
      </c>
      <c r="N11" s="1" t="n">
        <f aca="false">M11^2</f>
        <v>55225</v>
      </c>
    </row>
    <row r="12" customFormat="false" ht="15.75" hidden="false" customHeight="false" outlineLevel="0" collapsed="false">
      <c r="B12" s="1" t="n">
        <v>9</v>
      </c>
      <c r="C12" s="1" t="n">
        <v>256</v>
      </c>
      <c r="D12" s="1" t="n">
        <v>260</v>
      </c>
      <c r="E12" s="2" t="n">
        <f aca="false">D12+C12</f>
        <v>516</v>
      </c>
      <c r="F12" s="2" t="n">
        <f aca="false">E12/2</f>
        <v>258</v>
      </c>
      <c r="G12" s="1" t="n">
        <f aca="false">F12^2</f>
        <v>66564</v>
      </c>
      <c r="I12" s="1" t="n">
        <v>9</v>
      </c>
      <c r="J12" s="1" t="n">
        <v>249</v>
      </c>
      <c r="K12" s="1" t="n">
        <v>252</v>
      </c>
      <c r="L12" s="2" t="n">
        <f aca="false">K12+J12</f>
        <v>501</v>
      </c>
      <c r="M12" s="2" t="n">
        <f aca="false">L12/2</f>
        <v>250.5</v>
      </c>
      <c r="N12" s="1" t="n">
        <f aca="false">M12^2</f>
        <v>62750.25</v>
      </c>
    </row>
    <row r="13" customFormat="false" ht="15.75" hidden="false" customHeight="false" outlineLevel="0" collapsed="false">
      <c r="B13" s="1" t="n">
        <v>10</v>
      </c>
      <c r="C13" s="1" t="n">
        <v>269</v>
      </c>
      <c r="D13" s="1" t="n">
        <v>278</v>
      </c>
      <c r="E13" s="2" t="n">
        <f aca="false">D13+C13</f>
        <v>547</v>
      </c>
      <c r="F13" s="2" t="n">
        <f aca="false">E13/2</f>
        <v>273.5</v>
      </c>
      <c r="G13" s="1" t="n">
        <f aca="false">F13^2</f>
        <v>74802.25</v>
      </c>
      <c r="I13" s="1" t="n">
        <v>10</v>
      </c>
      <c r="J13" s="1" t="n">
        <v>263</v>
      </c>
      <c r="K13" s="1" t="n">
        <v>262</v>
      </c>
      <c r="L13" s="2" t="n">
        <f aca="false">K13+J13</f>
        <v>525</v>
      </c>
      <c r="M13" s="2" t="n">
        <f aca="false">L13/2</f>
        <v>262.5</v>
      </c>
      <c r="N13" s="1" t="n">
        <f aca="false">M13^2</f>
        <v>68906.25</v>
      </c>
    </row>
    <row r="14" customFormat="false" ht="15.75" hidden="false" customHeight="false" outlineLevel="0" collapsed="false">
      <c r="B14" s="1" t="n">
        <v>11</v>
      </c>
      <c r="C14" s="1" t="n">
        <v>283</v>
      </c>
      <c r="D14" s="1" t="n">
        <v>287</v>
      </c>
      <c r="E14" s="2" t="n">
        <f aca="false">D14+C14</f>
        <v>570</v>
      </c>
      <c r="F14" s="2" t="n">
        <f aca="false">E14/2</f>
        <v>285</v>
      </c>
      <c r="G14" s="1" t="n">
        <f aca="false">F14^2</f>
        <v>81225</v>
      </c>
      <c r="I14" s="1" t="n">
        <v>11</v>
      </c>
      <c r="J14" s="1" t="n">
        <v>276</v>
      </c>
      <c r="K14" s="1" t="n">
        <v>281</v>
      </c>
      <c r="L14" s="2" t="n">
        <f aca="false">K14+J14</f>
        <v>557</v>
      </c>
      <c r="M14" s="2" t="n">
        <f aca="false">L14/2</f>
        <v>278.5</v>
      </c>
      <c r="N14" s="1" t="n">
        <f aca="false">M14^2</f>
        <v>77562.25</v>
      </c>
    </row>
    <row r="15" customFormat="false" ht="15.75" hidden="false" customHeight="false" outlineLevel="0" collapsed="false">
      <c r="B15" s="1" t="n">
        <v>12</v>
      </c>
      <c r="C15" s="1" t="n">
        <v>296</v>
      </c>
      <c r="D15" s="1" t="n">
        <v>300</v>
      </c>
      <c r="E15" s="2" t="n">
        <f aca="false">D15+C15</f>
        <v>596</v>
      </c>
      <c r="F15" s="2" t="n">
        <f aca="false">E15/2</f>
        <v>298</v>
      </c>
      <c r="G15" s="1" t="n">
        <f aca="false">F15^2</f>
        <v>88804</v>
      </c>
      <c r="I15" s="1" t="n">
        <v>12</v>
      </c>
      <c r="J15" s="1" t="n">
        <v>289</v>
      </c>
      <c r="K15" s="1" t="n">
        <v>293</v>
      </c>
      <c r="L15" s="2" t="n">
        <f aca="false">K15+J15</f>
        <v>582</v>
      </c>
      <c r="M15" s="2" t="n">
        <f aca="false">L15/2</f>
        <v>291</v>
      </c>
      <c r="N15" s="1" t="n">
        <f aca="false">M15^2</f>
        <v>84681</v>
      </c>
    </row>
    <row r="17" customFormat="false" ht="15.75" hidden="false" customHeight="false" outlineLevel="0" collapsed="false">
      <c r="B17" s="1" t="s">
        <v>9</v>
      </c>
      <c r="C17" s="1" t="s">
        <v>10</v>
      </c>
      <c r="D17" s="1" t="s">
        <v>11</v>
      </c>
    </row>
    <row r="18" customFormat="false" ht="15.75" hidden="false" customHeight="false" outlineLevel="0" collapsed="false">
      <c r="A18" s="1" t="s">
        <v>12</v>
      </c>
      <c r="C18" s="1" t="n">
        <v>89</v>
      </c>
      <c r="D18" s="1" t="n">
        <v>908</v>
      </c>
      <c r="E18" s="2" t="n">
        <f aca="false">C18/D18</f>
        <v>0.09801762115</v>
      </c>
    </row>
    <row r="20" customFormat="false" ht="15.75" hidden="false" customHeight="false" outlineLevel="0" collapsed="false">
      <c r="B20" s="1" t="s">
        <v>13</v>
      </c>
      <c r="C20" s="2" t="n">
        <f aca="false">0.89</f>
        <v>0.89</v>
      </c>
      <c r="D20" s="2" t="n">
        <f aca="false">C20/D18</f>
        <v>0.0009801762115</v>
      </c>
      <c r="E20" s="2" t="n">
        <f aca="false">D20*1000</f>
        <v>0.9801762115</v>
      </c>
    </row>
    <row r="22" customFormat="false" ht="15.75" hidden="false" customHeight="false" outlineLevel="0" collapsed="false">
      <c r="A22" s="1" t="s">
        <v>14</v>
      </c>
      <c r="C22" s="1" t="s">
        <v>15</v>
      </c>
      <c r="D22" s="1" t="s">
        <v>16</v>
      </c>
    </row>
    <row r="23" customFormat="false" ht="15.75" hidden="false" customHeight="false" outlineLevel="0" collapsed="false">
      <c r="B23" s="1" t="s">
        <v>2</v>
      </c>
      <c r="C23" s="1" t="n">
        <v>17</v>
      </c>
      <c r="D23" s="1" t="n">
        <v>15</v>
      </c>
      <c r="E23" s="1" t="n">
        <v>14</v>
      </c>
    </row>
    <row r="26" customFormat="false" ht="15.75" hidden="false" customHeight="false" outlineLevel="0" collapsed="false">
      <c r="A26" s="1" t="s">
        <v>17</v>
      </c>
    </row>
    <row r="27" customFormat="false" ht="15.75" hidden="false" customHeight="false" outlineLevel="0" collapsed="false">
      <c r="A27" s="1" t="n">
        <v>43</v>
      </c>
      <c r="B27" s="1" t="n">
        <v>45</v>
      </c>
      <c r="C27" s="2" t="n">
        <f aca="false">A27+B27</f>
        <v>88</v>
      </c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3" sqref="B4:B15 F4:F15 M4:M15 A1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D1" s="1" t="s">
        <v>18</v>
      </c>
      <c r="E1" s="1" t="n">
        <v>1</v>
      </c>
    </row>
    <row r="2" customFormat="false" ht="15.75" hidden="false" customHeight="false" outlineLevel="0" collapsed="false">
      <c r="B2" s="1" t="s">
        <v>0</v>
      </c>
      <c r="K2" s="1" t="s">
        <v>1</v>
      </c>
    </row>
    <row r="3" customFormat="false" ht="15.75" hidden="false" customHeight="false" outlineLevel="0" collapsed="false">
      <c r="B3" s="1" t="s">
        <v>2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6</v>
      </c>
      <c r="H3" s="1" t="s">
        <v>23</v>
      </c>
      <c r="I3" s="1" t="s">
        <v>24</v>
      </c>
      <c r="K3" s="1" t="s">
        <v>2</v>
      </c>
      <c r="L3" s="1" t="s">
        <v>19</v>
      </c>
      <c r="M3" s="1" t="s">
        <v>20</v>
      </c>
      <c r="N3" s="1" t="s">
        <v>21</v>
      </c>
      <c r="O3" s="1" t="s">
        <v>22</v>
      </c>
      <c r="P3" s="1" t="s">
        <v>6</v>
      </c>
      <c r="Q3" s="1" t="s">
        <v>23</v>
      </c>
      <c r="R3" s="1" t="s">
        <v>24</v>
      </c>
    </row>
    <row r="4" customFormat="false" ht="15.75" hidden="false" customHeight="false" outlineLevel="0" collapsed="false">
      <c r="A4" s="1"/>
      <c r="B4" s="1" t="n">
        <v>1</v>
      </c>
      <c r="C4" s="1" t="n">
        <v>43</v>
      </c>
      <c r="D4" s="1" t="n">
        <v>45</v>
      </c>
      <c r="E4" s="2" t="n">
        <f aca="false">D4+C4</f>
        <v>88</v>
      </c>
      <c r="F4" s="2" t="n">
        <f aca="false">E4/2</f>
        <v>44</v>
      </c>
      <c r="G4" s="1" t="n">
        <f aca="false">F4*$E$21</f>
        <v>43.127753306</v>
      </c>
      <c r="H4" s="2" t="n">
        <f aca="false">G4^2</f>
        <v>1860.00310522319</v>
      </c>
      <c r="I4" s="2" t="n">
        <f aca="false">H4*$E$1/F4*2</f>
        <v>84.5455956919634</v>
      </c>
      <c r="K4" s="1" t="n">
        <v>1</v>
      </c>
      <c r="L4" s="1" t="s">
        <v>25</v>
      </c>
      <c r="M4" s="1" t="s">
        <v>25</v>
      </c>
      <c r="N4" s="1" t="s">
        <v>25</v>
      </c>
      <c r="O4" s="1" t="s">
        <v>25</v>
      </c>
      <c r="P4" s="1" t="s">
        <v>25</v>
      </c>
      <c r="Q4" s="1" t="s">
        <v>25</v>
      </c>
      <c r="R4" s="1" t="s">
        <v>25</v>
      </c>
    </row>
    <row r="5" customFormat="false" ht="15.75" hidden="false" customHeight="false" outlineLevel="0" collapsed="false">
      <c r="A5" s="1" t="s">
        <v>8</v>
      </c>
      <c r="B5" s="1" t="n">
        <v>2</v>
      </c>
      <c r="C5" s="1" t="n">
        <v>83</v>
      </c>
      <c r="D5" s="1" t="n">
        <v>89</v>
      </c>
      <c r="E5" s="2" t="n">
        <f aca="false">D5+C5</f>
        <v>172</v>
      </c>
      <c r="F5" s="2" t="n">
        <f aca="false">E5/2</f>
        <v>86</v>
      </c>
      <c r="G5" s="1" t="n">
        <f aca="false">F5*$E$21</f>
        <v>84.295154189</v>
      </c>
      <c r="H5" s="2" t="n">
        <f aca="false">G5^2</f>
        <v>7105.67301974728</v>
      </c>
      <c r="I5" s="2" t="n">
        <f aca="false">H5*$E$1/F5*2</f>
        <v>165.248209761565</v>
      </c>
      <c r="K5" s="1" t="n">
        <v>2</v>
      </c>
      <c r="L5" s="1" t="n">
        <v>106</v>
      </c>
      <c r="M5" s="1" t="n">
        <v>104</v>
      </c>
      <c r="N5" s="2" t="n">
        <f aca="false">M5+L5</f>
        <v>210</v>
      </c>
      <c r="O5" s="2" t="n">
        <f aca="false">N5/2</f>
        <v>105</v>
      </c>
      <c r="P5" s="1" t="n">
        <f aca="false">O5*$E$21</f>
        <v>102.9185022075</v>
      </c>
      <c r="Q5" s="2" t="n">
        <f aca="false">P5^2</f>
        <v>10592.2180966352</v>
      </c>
      <c r="R5" s="2" t="n">
        <f aca="false">Q5*$E$1/O5*2</f>
        <v>201.756535174004</v>
      </c>
    </row>
    <row r="6" customFormat="false" ht="15.75" hidden="false" customHeight="false" outlineLevel="0" collapsed="false">
      <c r="B6" s="1" t="n">
        <v>3</v>
      </c>
      <c r="C6" s="1" t="n">
        <v>120</v>
      </c>
      <c r="D6" s="1" t="n">
        <v>121</v>
      </c>
      <c r="E6" s="2" t="n">
        <f aca="false">D6+C6</f>
        <v>241</v>
      </c>
      <c r="F6" s="2" t="n">
        <f aca="false">E6/2</f>
        <v>120.5</v>
      </c>
      <c r="G6" s="1" t="n">
        <f aca="false">F6*$E$21</f>
        <v>118.11123348575</v>
      </c>
      <c r="H6" s="2" t="n">
        <f aca="false">G6^2</f>
        <v>13950.2634755254</v>
      </c>
      <c r="I6" s="2" t="n">
        <f aca="false">H6*$E$1/F6*2</f>
        <v>231.539642747309</v>
      </c>
      <c r="K6" s="1" t="n">
        <v>3</v>
      </c>
      <c r="L6" s="1" t="n">
        <v>136</v>
      </c>
      <c r="M6" s="1" t="n">
        <v>134</v>
      </c>
      <c r="N6" s="2" t="n">
        <f aca="false">M6+L6</f>
        <v>270</v>
      </c>
      <c r="O6" s="2" t="n">
        <f aca="false">N6/2</f>
        <v>135</v>
      </c>
      <c r="P6" s="1" t="n">
        <f aca="false">O6*$E$21</f>
        <v>132.3237885525</v>
      </c>
      <c r="Q6" s="2" t="n">
        <f aca="false">P6^2</f>
        <v>17509.5850168867</v>
      </c>
      <c r="R6" s="2" t="n">
        <f aca="false">Q6*$E$1/O6*2</f>
        <v>259.401259509433</v>
      </c>
    </row>
    <row r="7" customFormat="false" ht="15.75" hidden="false" customHeight="false" outlineLevel="0" collapsed="false">
      <c r="B7" s="1" t="n">
        <v>4</v>
      </c>
      <c r="C7" s="1" t="n">
        <v>148</v>
      </c>
      <c r="D7" s="1" t="n">
        <v>150</v>
      </c>
      <c r="E7" s="2" t="n">
        <f aca="false">D7+C7</f>
        <v>298</v>
      </c>
      <c r="F7" s="2" t="n">
        <f aca="false">E7/2</f>
        <v>149</v>
      </c>
      <c r="G7" s="1" t="n">
        <f aca="false">F7*$E$21</f>
        <v>146.0462555135</v>
      </c>
      <c r="H7" s="2" t="n">
        <f aca="false">G7^2</f>
        <v>21329.5087495145</v>
      </c>
      <c r="I7" s="2" t="n">
        <f aca="false">H7*$E$1/F7*2</f>
        <v>286.302130865967</v>
      </c>
      <c r="K7" s="1" t="n">
        <v>4</v>
      </c>
      <c r="L7" s="1" t="n">
        <v>160</v>
      </c>
      <c r="M7" s="1" t="n">
        <v>162</v>
      </c>
      <c r="N7" s="2" t="n">
        <f aca="false">M7+L7</f>
        <v>322</v>
      </c>
      <c r="O7" s="2" t="n">
        <f aca="false">N7/2</f>
        <v>161</v>
      </c>
      <c r="P7" s="1" t="n">
        <f aca="false">O7*$E$21</f>
        <v>157.8083700515</v>
      </c>
      <c r="Q7" s="2" t="n">
        <f aca="false">P7^2</f>
        <v>24903.4816583112</v>
      </c>
      <c r="R7" s="2" t="n">
        <f aca="false">Q7*$E$1/O7*2</f>
        <v>309.360020600139</v>
      </c>
    </row>
    <row r="8" customFormat="false" ht="15.75" hidden="false" customHeight="false" outlineLevel="0" collapsed="false">
      <c r="B8" s="1" t="n">
        <v>5</v>
      </c>
      <c r="C8" s="1" t="n">
        <v>170</v>
      </c>
      <c r="D8" s="1" t="n">
        <v>172</v>
      </c>
      <c r="E8" s="2" t="n">
        <f aca="false">D8+C8</f>
        <v>342</v>
      </c>
      <c r="F8" s="2" t="n">
        <f aca="false">E8/2</f>
        <v>171</v>
      </c>
      <c r="G8" s="1" t="n">
        <f aca="false">F8*$E$21</f>
        <v>167.6101321665</v>
      </c>
      <c r="H8" s="2" t="n">
        <f aca="false">G8^2</f>
        <v>28093.1564048716</v>
      </c>
      <c r="I8" s="2" t="n">
        <f aca="false">H8*$E$1/F8*2</f>
        <v>328.574928711949</v>
      </c>
      <c r="K8" s="1" t="n">
        <v>5</v>
      </c>
      <c r="L8" s="1" t="n">
        <v>182</v>
      </c>
      <c r="M8" s="1" t="n">
        <v>184</v>
      </c>
      <c r="N8" s="2" t="n">
        <f aca="false">M8+L8</f>
        <v>366</v>
      </c>
      <c r="O8" s="2" t="n">
        <f aca="false">N8/2</f>
        <v>183</v>
      </c>
      <c r="P8" s="1" t="n">
        <f aca="false">O8*$E$21</f>
        <v>179.3722467045</v>
      </c>
      <c r="Q8" s="2" t="n">
        <f aca="false">P8^2</f>
        <v>32174.40288782</v>
      </c>
      <c r="R8" s="2" t="n">
        <f aca="false">Q8*$E$1/O8*2</f>
        <v>351.63281844612</v>
      </c>
    </row>
    <row r="9" customFormat="false" ht="15.75" hidden="false" customHeight="false" outlineLevel="0" collapsed="false">
      <c r="B9" s="1" t="n">
        <v>6</v>
      </c>
      <c r="C9" s="1" t="n">
        <v>191</v>
      </c>
      <c r="D9" s="1" t="n">
        <v>194</v>
      </c>
      <c r="E9" s="2" t="n">
        <f aca="false">D9+C9</f>
        <v>385</v>
      </c>
      <c r="F9" s="2" t="n">
        <f aca="false">E9/2</f>
        <v>192.5</v>
      </c>
      <c r="G9" s="1" t="n">
        <f aca="false">F9*$E$21</f>
        <v>188.68392071375</v>
      </c>
      <c r="H9" s="2" t="n">
        <f aca="false">G9^2</f>
        <v>35601.6219359127</v>
      </c>
      <c r="I9" s="2" t="n">
        <f aca="false">H9*$E$1/F9*2</f>
        <v>369.88698115234</v>
      </c>
      <c r="K9" s="1" t="n">
        <v>6</v>
      </c>
      <c r="L9" s="1" t="n">
        <v>199</v>
      </c>
      <c r="M9" s="1" t="n">
        <v>202</v>
      </c>
      <c r="N9" s="2" t="n">
        <f aca="false">M9+L9</f>
        <v>401</v>
      </c>
      <c r="O9" s="2" t="n">
        <f aca="false">N9/2</f>
        <v>200.5</v>
      </c>
      <c r="P9" s="1" t="n">
        <f aca="false">O9*$E$21</f>
        <v>196.52533040575</v>
      </c>
      <c r="Q9" s="2" t="n">
        <f aca="false">P9^2</f>
        <v>38622.2054910892</v>
      </c>
      <c r="R9" s="2" t="n">
        <f aca="false">Q9*$E$1/O9*2</f>
        <v>385.258907641788</v>
      </c>
    </row>
    <row r="10" customFormat="false" ht="15.75" hidden="false" customHeight="false" outlineLevel="0" collapsed="false">
      <c r="B10" s="1" t="n">
        <v>7</v>
      </c>
      <c r="C10" s="1" t="n">
        <v>209</v>
      </c>
      <c r="D10" s="1" t="n">
        <v>213</v>
      </c>
      <c r="E10" s="2" t="n">
        <f aca="false">D10+C10</f>
        <v>422</v>
      </c>
      <c r="F10" s="2" t="n">
        <f aca="false">E10/2</f>
        <v>211</v>
      </c>
      <c r="G10" s="1" t="n">
        <f aca="false">F10*$E$21</f>
        <v>206.8171806265</v>
      </c>
      <c r="H10" s="2" t="n">
        <f aca="false">G10^2</f>
        <v>42773.3462022943</v>
      </c>
      <c r="I10" s="2" t="n">
        <f aca="false">H10*$E$1/F10*2</f>
        <v>405.434561159188</v>
      </c>
      <c r="K10" s="1" t="n">
        <v>7</v>
      </c>
      <c r="L10" s="1" t="n">
        <v>218</v>
      </c>
      <c r="M10" s="1" t="n">
        <v>220</v>
      </c>
      <c r="N10" s="2" t="n">
        <f aca="false">M10+L10</f>
        <v>438</v>
      </c>
      <c r="O10" s="2" t="n">
        <f aca="false">N10/2</f>
        <v>219</v>
      </c>
      <c r="P10" s="1" t="n">
        <f aca="false">O10*$E$21</f>
        <v>214.6585903185</v>
      </c>
      <c r="Q10" s="2" t="n">
        <f aca="false">P10^2</f>
        <v>46078.3103975256</v>
      </c>
      <c r="R10" s="2" t="n">
        <f aca="false">Q10*$E$1/O10*2</f>
        <v>420.806487648636</v>
      </c>
    </row>
    <row r="11" customFormat="false" ht="15.75" hidden="false" customHeight="false" outlineLevel="0" collapsed="false">
      <c r="B11" s="1" t="n">
        <v>8</v>
      </c>
      <c r="C11" s="1" t="n">
        <v>225</v>
      </c>
      <c r="D11" s="1" t="n">
        <v>229</v>
      </c>
      <c r="E11" s="2" t="n">
        <f aca="false">D11+C11</f>
        <v>454</v>
      </c>
      <c r="F11" s="2" t="n">
        <f aca="false">E11/2</f>
        <v>227</v>
      </c>
      <c r="G11" s="1" t="n">
        <f aca="false">F11*$E$21</f>
        <v>222.5000000105</v>
      </c>
      <c r="H11" s="2" t="n">
        <f aca="false">G11^2</f>
        <v>49506.2500046725</v>
      </c>
      <c r="I11" s="2" t="n">
        <f aca="false">H11*$E$1/F11*2</f>
        <v>436.178414138084</v>
      </c>
      <c r="K11" s="1" t="n">
        <v>8</v>
      </c>
      <c r="L11" s="1" t="n">
        <v>233</v>
      </c>
      <c r="M11" s="1" t="n">
        <v>237</v>
      </c>
      <c r="N11" s="2" t="n">
        <f aca="false">M11+L11</f>
        <v>470</v>
      </c>
      <c r="O11" s="2" t="n">
        <f aca="false">N11/2</f>
        <v>235</v>
      </c>
      <c r="P11" s="1" t="n">
        <f aca="false">O11*$E$21</f>
        <v>230.3414097025</v>
      </c>
      <c r="Q11" s="2" t="n">
        <f aca="false">P11^2</f>
        <v>53057.165023735</v>
      </c>
      <c r="R11" s="2" t="n">
        <f aca="false">Q11*$E$1/O11*2</f>
        <v>451.550340627532</v>
      </c>
    </row>
    <row r="12" customFormat="false" ht="15.75" hidden="false" customHeight="false" outlineLevel="0" collapsed="false">
      <c r="B12" s="1" t="n">
        <v>9</v>
      </c>
      <c r="C12" s="1" t="n">
        <v>243</v>
      </c>
      <c r="D12" s="1" t="n">
        <v>246</v>
      </c>
      <c r="E12" s="2" t="n">
        <f aca="false">D12+C12</f>
        <v>489</v>
      </c>
      <c r="F12" s="2" t="n">
        <f aca="false">E12/2</f>
        <v>244.5</v>
      </c>
      <c r="G12" s="1" t="n">
        <f aca="false">F12*$E$21</f>
        <v>239.65308371175</v>
      </c>
      <c r="H12" s="2" t="n">
        <f aca="false">G12^2</f>
        <v>57433.6005325511</v>
      </c>
      <c r="I12" s="2" t="n">
        <f aca="false">H12*$E$1/F12*2</f>
        <v>469.804503333751</v>
      </c>
      <c r="K12" s="1" t="n">
        <v>9</v>
      </c>
      <c r="L12" s="1" t="n">
        <v>249</v>
      </c>
      <c r="M12" s="1" t="n">
        <v>252</v>
      </c>
      <c r="N12" s="2" t="n">
        <f aca="false">M12+L12</f>
        <v>501</v>
      </c>
      <c r="O12" s="2" t="n">
        <f aca="false">N12/2</f>
        <v>250.5</v>
      </c>
      <c r="P12" s="1" t="n">
        <f aca="false">O12*$E$21</f>
        <v>245.53414098075</v>
      </c>
      <c r="Q12" s="2" t="n">
        <f aca="false">P12^2</f>
        <v>60287.0143871548</v>
      </c>
      <c r="R12" s="2" t="n">
        <f aca="false">Q12*$E$1/O12*2</f>
        <v>481.333448200837</v>
      </c>
    </row>
    <row r="13" customFormat="false" ht="15.75" hidden="false" customHeight="false" outlineLevel="0" collapsed="false">
      <c r="B13" s="1" t="n">
        <v>10</v>
      </c>
      <c r="C13" s="1" t="n">
        <v>256</v>
      </c>
      <c r="D13" s="1" t="n">
        <v>260</v>
      </c>
      <c r="E13" s="2" t="n">
        <f aca="false">D13+C13</f>
        <v>516</v>
      </c>
      <c r="F13" s="2" t="n">
        <f aca="false">E13/2</f>
        <v>258</v>
      </c>
      <c r="G13" s="1" t="n">
        <f aca="false">F13*$E$21</f>
        <v>252.885462567</v>
      </c>
      <c r="H13" s="2" t="n">
        <f aca="false">G13^2</f>
        <v>63951.0571777256</v>
      </c>
      <c r="I13" s="2" t="n">
        <f aca="false">H13*$E$1/F13*2</f>
        <v>495.744629284694</v>
      </c>
      <c r="K13" s="1" t="n">
        <v>10</v>
      </c>
      <c r="L13" s="1" t="n">
        <v>263</v>
      </c>
      <c r="M13" s="1" t="n">
        <v>262</v>
      </c>
      <c r="N13" s="2" t="n">
        <f aca="false">M13+L13</f>
        <v>525</v>
      </c>
      <c r="O13" s="2" t="n">
        <f aca="false">N13/2</f>
        <v>262.5</v>
      </c>
      <c r="P13" s="1" t="n">
        <f aca="false">O13*$E$21</f>
        <v>257.29625551875</v>
      </c>
      <c r="Q13" s="2" t="n">
        <f aca="false">P13^2</f>
        <v>66201.3631039699</v>
      </c>
      <c r="R13" s="2" t="n">
        <f aca="false">Q13*$E$1/O13*2</f>
        <v>504.391337935009</v>
      </c>
    </row>
    <row r="14" customFormat="false" ht="15.75" hidden="false" customHeight="false" outlineLevel="0" collapsed="false">
      <c r="B14" s="1" t="n">
        <v>11</v>
      </c>
      <c r="C14" s="1" t="n">
        <v>269</v>
      </c>
      <c r="D14" s="1" t="n">
        <v>278</v>
      </c>
      <c r="E14" s="2" t="n">
        <f aca="false">D14+C14</f>
        <v>547</v>
      </c>
      <c r="F14" s="2" t="n">
        <f aca="false">E14/2</f>
        <v>273.5</v>
      </c>
      <c r="G14" s="1" t="n">
        <f aca="false">F14*$E$21</f>
        <v>268.07819384525</v>
      </c>
      <c r="H14" s="2" t="n">
        <f aca="false">G14^2</f>
        <v>71865.9180153314</v>
      </c>
      <c r="I14" s="2" t="n">
        <f aca="false">H14*$E$1/F14*2</f>
        <v>525.527736858</v>
      </c>
      <c r="K14" s="1" t="n">
        <v>11</v>
      </c>
      <c r="L14" s="1" t="n">
        <v>276</v>
      </c>
      <c r="M14" s="1" t="n">
        <v>281</v>
      </c>
      <c r="N14" s="2" t="n">
        <f aca="false">M14+L14</f>
        <v>557</v>
      </c>
      <c r="O14" s="2" t="n">
        <f aca="false">N14/2</f>
        <v>278.5</v>
      </c>
      <c r="P14" s="1" t="n">
        <f aca="false">O14*$E$21</f>
        <v>272.97907490275</v>
      </c>
      <c r="Q14" s="2" t="n">
        <f aca="false">P14^2</f>
        <v>74517.5753347612</v>
      </c>
      <c r="R14" s="2" t="n">
        <f aca="false">Q14*$E$1/O14*2</f>
        <v>535.135190913905</v>
      </c>
    </row>
    <row r="15" customFormat="false" ht="15.75" hidden="false" customHeight="false" outlineLevel="0" collapsed="false">
      <c r="B15" s="1" t="n">
        <v>12</v>
      </c>
      <c r="C15" s="1" t="n">
        <v>283</v>
      </c>
      <c r="D15" s="1" t="n">
        <v>287</v>
      </c>
      <c r="E15" s="2" t="n">
        <f aca="false">D15+C15</f>
        <v>570</v>
      </c>
      <c r="F15" s="2" t="n">
        <f aca="false">E15/2</f>
        <v>285</v>
      </c>
      <c r="G15" s="1" t="n">
        <f aca="false">F15*$E$21</f>
        <v>279.3502202775</v>
      </c>
      <c r="H15" s="2" t="n">
        <f aca="false">G15^2</f>
        <v>78036.5455690878</v>
      </c>
      <c r="I15" s="2" t="n">
        <f aca="false">H15*$E$1/F15*2</f>
        <v>547.624881186581</v>
      </c>
      <c r="K15" s="1" t="n">
        <v>12</v>
      </c>
      <c r="L15" s="1" t="n">
        <v>289</v>
      </c>
      <c r="M15" s="1" t="n">
        <v>293</v>
      </c>
      <c r="N15" s="2" t="n">
        <f aca="false">M15+L15</f>
        <v>582</v>
      </c>
      <c r="O15" s="2" t="n">
        <f aca="false">N15/2</f>
        <v>291</v>
      </c>
      <c r="P15" s="1" t="n">
        <f aca="false">O15*$E$21</f>
        <v>285.2312775465</v>
      </c>
      <c r="Q15" s="2" t="n">
        <f aca="false">P15^2</f>
        <v>81356.8816908085</v>
      </c>
      <c r="R15" s="2" t="n">
        <f aca="false">Q15*$E$1/O15*2</f>
        <v>559.153826053667</v>
      </c>
    </row>
    <row r="16" customFormat="false" ht="15.75" hidden="false" customHeight="false" outlineLevel="0" collapsed="false">
      <c r="B16" s="1" t="n">
        <v>13</v>
      </c>
      <c r="C16" s="1" t="n">
        <v>296</v>
      </c>
      <c r="D16" s="1" t="n">
        <v>300</v>
      </c>
      <c r="E16" s="2" t="n">
        <f aca="false">D16+C16</f>
        <v>596</v>
      </c>
      <c r="F16" s="2" t="n">
        <f aca="false">E16/2</f>
        <v>298</v>
      </c>
      <c r="G16" s="1" t="n">
        <f aca="false">F16*$E$21</f>
        <v>292.092511027</v>
      </c>
      <c r="H16" s="2" t="n">
        <f aca="false">G16^2</f>
        <v>85318.0349980581</v>
      </c>
      <c r="I16" s="2" t="n">
        <f aca="false">H16*$E$1/F16*2</f>
        <v>572.604261731934</v>
      </c>
    </row>
    <row r="18" customFormat="false" ht="15.75" hidden="false" customHeight="false" outlineLevel="0" collapsed="false">
      <c r="B18" s="1" t="s">
        <v>9</v>
      </c>
      <c r="C18" s="1" t="s">
        <v>10</v>
      </c>
      <c r="D18" s="1" t="s">
        <v>11</v>
      </c>
    </row>
    <row r="19" customFormat="false" ht="15.75" hidden="false" customHeight="false" outlineLevel="0" collapsed="false">
      <c r="A19" s="1" t="s">
        <v>12</v>
      </c>
      <c r="C19" s="1" t="n">
        <v>89</v>
      </c>
      <c r="D19" s="1" t="n">
        <v>908</v>
      </c>
      <c r="E19" s="2" t="n">
        <f aca="false">C19/D19</f>
        <v>0.09801762115</v>
      </c>
    </row>
    <row r="21" customFormat="false" ht="15.75" hidden="false" customHeight="false" outlineLevel="0" collapsed="false">
      <c r="B21" s="1" t="s">
        <v>13</v>
      </c>
      <c r="C21" s="2" t="n">
        <f aca="false">0.89</f>
        <v>0.89</v>
      </c>
      <c r="D21" s="2" t="n">
        <f aca="false">C21/D19</f>
        <v>0.0009801762115</v>
      </c>
      <c r="E21" s="2" t="n">
        <f aca="false">D21*1000</f>
        <v>0.9801762115</v>
      </c>
    </row>
    <row r="23" customFormat="false" ht="15.75" hidden="false" customHeight="false" outlineLevel="0" collapsed="false">
      <c r="A23" s="1" t="s">
        <v>14</v>
      </c>
      <c r="C23" s="1" t="s">
        <v>15</v>
      </c>
      <c r="D23" s="1" t="s">
        <v>16</v>
      </c>
    </row>
    <row r="24" customFormat="false" ht="15.75" hidden="false" customHeight="false" outlineLevel="0" collapsed="false">
      <c r="B24" s="1" t="s">
        <v>2</v>
      </c>
      <c r="C24" s="1" t="n">
        <v>17</v>
      </c>
      <c r="D24" s="1" t="n">
        <v>15</v>
      </c>
      <c r="E24" s="1" t="n">
        <v>14</v>
      </c>
    </row>
    <row r="27" customFormat="false" ht="15.75" hidden="false" customHeight="false" outlineLevel="0" collapsed="false">
      <c r="A27" s="1" t="s">
        <v>17</v>
      </c>
    </row>
    <row r="28" customFormat="false" ht="15.75" hidden="false" customHeight="false" outlineLevel="0" collapsed="false">
      <c r="A28" s="1" t="n">
        <v>43</v>
      </c>
      <c r="B28" s="1" t="n">
        <v>45</v>
      </c>
      <c r="C28" s="2" t="n">
        <f aca="false">A28+B28</f>
        <v>88</v>
      </c>
    </row>
    <row r="44" customFormat="false" ht="15.75" hidden="false" customHeight="false" outlineLevel="0" collapsed="false">
      <c r="B44" s="1" t="s">
        <v>26</v>
      </c>
      <c r="C44" s="1" t="s">
        <v>27</v>
      </c>
      <c r="D44" s="1" t="s">
        <v>28</v>
      </c>
      <c r="E44" s="1" t="s">
        <v>29</v>
      </c>
      <c r="F44" s="1" t="s">
        <v>30</v>
      </c>
      <c r="G44" s="1" t="s">
        <v>31</v>
      </c>
      <c r="H44" s="1" t="s">
        <v>32</v>
      </c>
      <c r="I44" s="1" t="s">
        <v>33</v>
      </c>
      <c r="J44" s="1" t="s">
        <v>34</v>
      </c>
      <c r="K44" s="1" t="s">
        <v>35</v>
      </c>
      <c r="L44" s="1" t="s">
        <v>36</v>
      </c>
      <c r="M44" s="1" t="s">
        <v>37</v>
      </c>
      <c r="N44" s="1" t="s">
        <v>38</v>
      </c>
    </row>
    <row r="45" customFormat="false" ht="15.75" hidden="false" customHeight="false" outlineLevel="0" collapsed="false">
      <c r="B45" s="1" t="s">
        <v>39</v>
      </c>
      <c r="C45" s="1" t="s">
        <v>40</v>
      </c>
      <c r="D45" s="1" t="s">
        <v>41</v>
      </c>
      <c r="E45" s="1" t="s">
        <v>42</v>
      </c>
      <c r="F45" s="1" t="s">
        <v>43</v>
      </c>
      <c r="G45" s="1" t="s">
        <v>44</v>
      </c>
      <c r="H45" s="1" t="s">
        <v>45</v>
      </c>
      <c r="I45" s="1" t="s">
        <v>46</v>
      </c>
      <c r="J45" s="1" t="s">
        <v>47</v>
      </c>
      <c r="K45" s="1" t="s">
        <v>48</v>
      </c>
      <c r="L45" s="1" t="s">
        <v>49</v>
      </c>
      <c r="M45" s="1" t="s">
        <v>50</v>
      </c>
      <c r="N45" s="1" t="s">
        <v>51</v>
      </c>
    </row>
    <row r="46" customFormat="false" ht="15.75" hidden="false" customHeight="false" outlineLevel="0" collapsed="false">
      <c r="B46" s="2" t="s">
        <v>2</v>
      </c>
      <c r="C46" s="2" t="n">
        <v>1</v>
      </c>
      <c r="D46" s="2" t="n">
        <v>2</v>
      </c>
      <c r="E46" s="2" t="n">
        <v>3</v>
      </c>
      <c r="F46" s="2" t="n">
        <v>4</v>
      </c>
      <c r="G46" s="2" t="n">
        <v>5</v>
      </c>
      <c r="H46" s="2" t="n">
        <v>6</v>
      </c>
      <c r="I46" s="2" t="n">
        <v>7</v>
      </c>
      <c r="J46" s="2" t="n">
        <v>8</v>
      </c>
      <c r="K46" s="2" t="n">
        <v>9</v>
      </c>
      <c r="L46" s="2" t="n">
        <v>10</v>
      </c>
      <c r="M46" s="2" t="n">
        <v>11</v>
      </c>
      <c r="N46" s="2" t="n">
        <v>12</v>
      </c>
    </row>
    <row r="47" customFormat="false" ht="15.75" hidden="false" customHeight="false" outlineLevel="0" collapsed="false">
      <c r="B47" s="1" t="s">
        <v>26</v>
      </c>
      <c r="C47" s="2" t="n">
        <v>0</v>
      </c>
      <c r="D47" s="1" t="s">
        <v>52</v>
      </c>
      <c r="E47" s="1" t="s">
        <v>53</v>
      </c>
      <c r="F47" s="1" t="s">
        <v>54</v>
      </c>
      <c r="G47" s="1" t="s">
        <v>55</v>
      </c>
      <c r="H47" s="1" t="s">
        <v>56</v>
      </c>
      <c r="I47" s="1" t="s">
        <v>57</v>
      </c>
      <c r="J47" s="1" t="s">
        <v>58</v>
      </c>
      <c r="K47" s="1" t="s">
        <v>59</v>
      </c>
      <c r="L47" s="1" t="s">
        <v>60</v>
      </c>
      <c r="M47" s="1" t="s">
        <v>61</v>
      </c>
      <c r="N47" s="1" t="s">
        <v>62</v>
      </c>
    </row>
    <row r="48" customFormat="false" ht="15.75" hidden="false" customHeight="false" outlineLevel="0" collapsed="false">
      <c r="B48" s="1" t="s">
        <v>39</v>
      </c>
      <c r="C48" s="2" t="e">
        <f aca="false">#DIV/0!</f>
        <v>#DIV/0!</v>
      </c>
      <c r="D48" s="1" t="s">
        <v>63</v>
      </c>
      <c r="E48" s="1" t="s">
        <v>64</v>
      </c>
      <c r="F48" s="1" t="s">
        <v>65</v>
      </c>
      <c r="G48" s="1" t="s">
        <v>66</v>
      </c>
      <c r="H48" s="1" t="s">
        <v>67</v>
      </c>
      <c r="I48" s="1" t="s">
        <v>68</v>
      </c>
      <c r="J48" s="1" t="s">
        <v>69</v>
      </c>
      <c r="K48" s="1" t="s">
        <v>70</v>
      </c>
      <c r="L48" s="1" t="s">
        <v>71</v>
      </c>
      <c r="M48" s="1" t="s">
        <v>72</v>
      </c>
      <c r="N48" s="1" t="s">
        <v>73</v>
      </c>
    </row>
  </sheetData>
  <printOptions headings="false" gridLines="true" gridLinesSet="true" horizontalCentered="true" verticalCentered="false"/>
  <pageMargins left="0.7" right="0.7" top="0.75" bottom="0.75" header="0.511811023622047" footer="0.511811023622047"/>
  <pageSetup paperSize="9" scale="100" fitToWidth="1" fitToHeight="0" pageOrder="overThenDown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2026-02-22T19:52:33Z</dcterms:modified>
  <cp:revision>1</cp:revision>
  <dc:subject/>
  <dc:title/>
</cp:coreProperties>
</file>